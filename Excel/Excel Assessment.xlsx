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aqi Saiyed\Desktop\DA\Excel\"/>
    </mc:Choice>
  </mc:AlternateContent>
  <xr:revisionPtr revIDLastSave="0" documentId="13_ncr:1_{A6D2C99F-FA3C-4AF7-B1F4-CF3850D0878F}" xr6:coauthVersionLast="47" xr6:coauthVersionMax="47" xr10:uidLastSave="{00000000-0000-0000-0000-000000000000}"/>
  <bookViews>
    <workbookView xWindow="-108" yWindow="-108" windowWidth="23256" windowHeight="13896" xr2:uid="{A56F0B73-77D9-4FF2-B2D9-B15ADA02099D}"/>
  </bookViews>
  <sheets>
    <sheet name="Sheet1" sheetId="1" r:id="rId1"/>
    <sheet name="Sheet2" sheetId="2" r:id="rId2"/>
    <sheet name="Table2" sheetId="3" r:id="rId3"/>
  </sheets>
  <definedNames>
    <definedName name="ExternalData_1" localSheetId="2" hidden="1">Table2!$A$1:$A$19</definedName>
    <definedName name="Slicer_Account_Cod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7D5A11-7982-4E6E-BEF4-4A6E88AE089B}"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<sst xmlns="http://schemas.openxmlformats.org/spreadsheetml/2006/main" count="401" uniqueCount="119">
  <si>
    <t>Document Date</t>
  </si>
  <si>
    <t>Supplier</t>
  </si>
  <si>
    <t>Reference</t>
  </si>
  <si>
    <t>Description</t>
  </si>
  <si>
    <t>Tax Inclusive Amount</t>
  </si>
  <si>
    <t>Bank Code</t>
  </si>
  <si>
    <t>Account Code</t>
  </si>
  <si>
    <t>PaymentDate</t>
  </si>
  <si>
    <t>2/14/2011</t>
  </si>
  <si>
    <t>XY Solutions</t>
  </si>
  <si>
    <t>S77782</t>
  </si>
  <si>
    <t>Openinng Balance</t>
  </si>
  <si>
    <t>A</t>
  </si>
  <si>
    <t>B1</t>
  </si>
  <si>
    <t>BS-500</t>
  </si>
  <si>
    <t>3/15/2011</t>
  </si>
  <si>
    <t>IS Communications</t>
  </si>
  <si>
    <t>Newscrop</t>
  </si>
  <si>
    <t>EAG Brokers</t>
  </si>
  <si>
    <t>Capital Banks</t>
  </si>
  <si>
    <t>IAS Accounts</t>
  </si>
  <si>
    <t>Interflora</t>
  </si>
  <si>
    <t>Invoice EXP22</t>
  </si>
  <si>
    <t>I381119</t>
  </si>
  <si>
    <t>Debit Order</t>
  </si>
  <si>
    <t>Bank Statement</t>
  </si>
  <si>
    <t xml:space="preserve">Invoice </t>
  </si>
  <si>
    <t>Cash</t>
  </si>
  <si>
    <t>Internet Service Provider</t>
  </si>
  <si>
    <t>Subscriptions</t>
  </si>
  <si>
    <t>Insurance</t>
  </si>
  <si>
    <t>Service Fees</t>
  </si>
  <si>
    <t>Bookkeeping</t>
  </si>
  <si>
    <t>Flowers</t>
  </si>
  <si>
    <t>B2</t>
  </si>
  <si>
    <t>PC</t>
  </si>
  <si>
    <t>IS-380</t>
  </si>
  <si>
    <t>IS-375</t>
  </si>
  <si>
    <t>IS-340</t>
  </si>
  <si>
    <t>IS-315</t>
  </si>
  <si>
    <t>IS-305</t>
  </si>
  <si>
    <t>IS-345</t>
  </si>
  <si>
    <t>3/31/2011</t>
  </si>
  <si>
    <t>3/18/2011</t>
  </si>
  <si>
    <t>3/20/2011</t>
  </si>
  <si>
    <t>3/26/2011</t>
  </si>
  <si>
    <t>QQ International</t>
  </si>
  <si>
    <t>Example (Pty) Ltd</t>
  </si>
  <si>
    <t>HP Finance</t>
  </si>
  <si>
    <t>PR Properties</t>
  </si>
  <si>
    <t>TR6998</t>
  </si>
  <si>
    <t>Transfer</t>
  </si>
  <si>
    <t>Payroll</t>
  </si>
  <si>
    <t>Parking</t>
  </si>
  <si>
    <t>Inter Account transfer</t>
  </si>
  <si>
    <t>Salaries</t>
  </si>
  <si>
    <t>Capital repayment</t>
  </si>
  <si>
    <t>Interest paid</t>
  </si>
  <si>
    <t>Rent</t>
  </si>
  <si>
    <t>Petty Cash Reimbursement</t>
  </si>
  <si>
    <t>E</t>
  </si>
  <si>
    <t>IS-390</t>
  </si>
  <si>
    <t>BS-399</t>
  </si>
  <si>
    <t>IS-365</t>
  </si>
  <si>
    <t>BS-700</t>
  </si>
  <si>
    <t>IS-500</t>
  </si>
  <si>
    <t>IS-350</t>
  </si>
  <si>
    <t>4/15/2011</t>
  </si>
  <si>
    <t>4/20/2011</t>
  </si>
  <si>
    <t>Invoice EXP23</t>
  </si>
  <si>
    <t>Invoice</t>
  </si>
  <si>
    <t>4/25/20011</t>
  </si>
  <si>
    <t>4/26/2011</t>
  </si>
  <si>
    <t>4/29/2011</t>
  </si>
  <si>
    <t>4/30/2011</t>
  </si>
  <si>
    <t>Inland Revenue</t>
  </si>
  <si>
    <t>Furniture City</t>
  </si>
  <si>
    <t>GF Supplies</t>
  </si>
  <si>
    <t>Return</t>
  </si>
  <si>
    <t>IN1179</t>
  </si>
  <si>
    <t>Invoice EXP24</t>
  </si>
  <si>
    <t>Sales Tax</t>
  </si>
  <si>
    <t>Furniture</t>
  </si>
  <si>
    <t>Consumables</t>
  </si>
  <si>
    <t>BS-600</t>
  </si>
  <si>
    <t>BS-100</t>
  </si>
  <si>
    <t>IS-325</t>
  </si>
  <si>
    <t>4/25/2011</t>
  </si>
  <si>
    <t>5/26/2011</t>
  </si>
  <si>
    <t>5/29/2011</t>
  </si>
  <si>
    <t>5/31/2011</t>
  </si>
  <si>
    <t>5/5/20111</t>
  </si>
  <si>
    <t>5/15/2011</t>
  </si>
  <si>
    <t>5/20/2011</t>
  </si>
  <si>
    <t>Training Inc</t>
  </si>
  <si>
    <t>City Lodge</t>
  </si>
  <si>
    <t>Waltons</t>
  </si>
  <si>
    <t>IAS Accountants</t>
  </si>
  <si>
    <t>S50037</t>
  </si>
  <si>
    <t>Course</t>
  </si>
  <si>
    <t>Accommodation</t>
  </si>
  <si>
    <t>Stationary</t>
  </si>
  <si>
    <t>IS-385</t>
  </si>
  <si>
    <t>IS-370</t>
  </si>
  <si>
    <t>Example Limited</t>
  </si>
  <si>
    <t>Expenses</t>
  </si>
  <si>
    <t>Ans1.</t>
  </si>
  <si>
    <t xml:space="preserve"> Select cell F4 and enter the 
following heading for the column: Tax Code.</t>
  </si>
  <si>
    <t>Tax Code</t>
  </si>
  <si>
    <t>Ans2.</t>
  </si>
  <si>
    <t>Grand Total</t>
  </si>
  <si>
    <t>Sum of Tax Inclusive Amount</t>
  </si>
  <si>
    <t>in sheet2</t>
  </si>
  <si>
    <t>in Table2 worksheet</t>
  </si>
  <si>
    <t xml:space="preserve">Ques1. Open the Expenses sheet and note that one of the column headings is blank - we will not 
be able to create a pivot table which includes all the data on the Expenses sheet if one of the 
field names that need to be used in our pivot table is blank. Select cell F4 and enter the 
following heading for the column: Tax Code. </t>
  </si>
  <si>
    <t xml:space="preserve">Ques2. Filter the pivot table data with the slicer so that the supplier totals for only expenses that 
have been allocated to account IS-375 or account IS-390 are displayed in the pivot table. </t>
  </si>
  <si>
    <t xml:space="preserve">Question 2 : Replace Complex Excel Array Formulas with Simple Power Query Solution.  
</t>
  </si>
  <si>
    <t>Ques1. Goal is to extract a unique list of values from the Sales Rep Column, without using an 
Excel Array Formula.</t>
  </si>
  <si>
    <t>Question1.  How to edit an already existing query in Power Query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</si>
</sst>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2" fontId="0" fillId="0" borderId="0" xfId="0" applyNumberFormat="1"/>
    <xf numFmtId="0" fontId="0" fillId="0" borderId="1" xfId="0" applyBorder="1"/>
    <xf numFmtId="2" fontId="0" fillId="0" borderId="1" xfId="0" applyNumberFormat="1" applyBorder="1"/>
    <xf numFmtId="0" fontId="0" fillId="0" borderId="2" xfId="0" applyBorder="1"/>
    <xf numFmtId="0" fontId="1" fillId="0" borderId="3" xfId="0" applyFont="1" applyBorder="1"/>
    <xf numFmtId="0" fontId="0" fillId="0" borderId="0" xfId="0" pivotButton="1"/>
    <xf numFmtId="0" fontId="0" fillId="0" borderId="4" xfId="0" applyBorder="1"/>
    <xf numFmtId="14" fontId="0" fillId="0" borderId="4" xfId="0" applyNumberFormat="1" applyBorder="1"/>
    <xf numFmtId="14" fontId="0" fillId="0" borderId="5" xfId="0" applyNumberFormat="1" applyBorder="1"/>
    <xf numFmtId="0" fontId="0" fillId="0" borderId="5" xfId="0" applyBorder="1"/>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2" fontId="1" fillId="2" borderId="6"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xf>
    <xf numFmtId="0" fontId="0" fillId="0" borderId="8" xfId="0" applyBorder="1"/>
    <xf numFmtId="0" fontId="0" fillId="0" borderId="9" xfId="0" applyBorder="1"/>
    <xf numFmtId="2" fontId="0" fillId="0" borderId="9" xfId="0" applyNumberFormat="1" applyBorder="1"/>
    <xf numFmtId="0" fontId="0" fillId="0" borderId="10" xfId="0" applyBorder="1"/>
    <xf numFmtId="0" fontId="0" fillId="0" borderId="0" xfId="0" applyAlignment="1">
      <alignment vertical="center"/>
    </xf>
    <xf numFmtId="0" fontId="1" fillId="0" borderId="0" xfId="0" applyFont="1"/>
    <xf numFmtId="0" fontId="1" fillId="0" borderId="0" xfId="0" applyFont="1" applyAlignment="1"/>
    <xf numFmtId="0" fontId="0" fillId="0" borderId="0" xfId="0" applyAlignment="1"/>
    <xf numFmtId="2" fontId="0" fillId="0" borderId="0" xfId="0" applyNumberFormat="1" applyAlignment="1"/>
    <xf numFmtId="2" fontId="1" fillId="0" borderId="0" xfId="0" applyNumberFormat="1" applyFont="1" applyAlignment="1"/>
  </cellXfs>
  <cellStyles count="1">
    <cellStyle name="Normal" xfId="0" builtinId="0"/>
  </cellStyles>
  <dxfs count="14">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22860</xdr:rowOff>
    </xdr:from>
    <xdr:to>
      <xdr:col>6</xdr:col>
      <xdr:colOff>320040</xdr:colOff>
      <xdr:row>17</xdr:row>
      <xdr:rowOff>43815</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4A0F439E-F657-1F08-5753-3AA37D4C1B49}"/>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183380" y="571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qi Saiyed" refreshedDate="46224.583215740742" createdVersion="8" refreshedVersion="8" minRefreshableVersion="3" recordCount="47" xr:uid="{68AF4F0B-83B1-475F-B546-FF0C7548304F}">
  <cacheSource type="worksheet">
    <worksheetSource ref="A4:I51" sheet="Sheet1"/>
  </cacheSource>
  <cacheFields count="9">
    <cacheField name="Document Date" numFmtId="0">
      <sharedItems containsDate="1" containsMixedTypes="1" minDate="2011-01-03T00:00:00" maxDate="2011-12-05T00:00:00"/>
    </cacheField>
    <cacheField name="Supplier" numFmtId="0">
      <sharedItems count="18">
        <s v="XY Solutions"/>
        <s v="IS Communications"/>
        <s v="Newscrop"/>
        <s v="EAG Brokers"/>
        <s v="Capital Banks"/>
        <s v="IAS Accounts"/>
        <s v="Interflora"/>
        <s v="QQ International"/>
        <s v="Example (Pty) Ltd"/>
        <s v="HP Finance"/>
        <s v="PR Properties"/>
        <s v="Inland Revenue"/>
        <s v="Furniture City"/>
        <s v="GF Supplies"/>
        <s v="Training Inc"/>
        <s v="City Lodge"/>
        <s v="Waltons"/>
        <s v="IAS Accountants"/>
      </sharedItems>
    </cacheField>
    <cacheField name="Reference" numFmtId="0">
      <sharedItems/>
    </cacheField>
    <cacheField name="Description" numFmtId="0">
      <sharedItems/>
    </cacheField>
    <cacheField name="Tax Inclusive Amount" numFmtId="2">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Date" numFmtId="0">
      <sharedItems containsDate="1" containsMixedTypes="1" minDate="2011-01-04T00:00:00" maxDate="2011-12-05T00:00:00"/>
    </cacheField>
  </cacheFields>
  <extLst>
    <ext xmlns:x14="http://schemas.microsoft.com/office/spreadsheetml/2009/9/main" uri="{725AE2AE-9491-48be-B2B4-4EB974FC3084}">
      <x14:pivotCacheDefinition pivotCacheId="1667594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2/14/2011"/>
    <x v="0"/>
    <s v="S77782"/>
    <s v="Openinng Balance"/>
    <n v="5100"/>
    <s v="A"/>
    <s v="B1"/>
    <x v="0"/>
    <d v="2011-02-03T00:00:00"/>
  </r>
  <r>
    <d v="2011-01-03T00:00:00"/>
    <x v="1"/>
    <s v="Invoice EXP22"/>
    <s v="Internet Service Provider"/>
    <n v="179"/>
    <s v="A"/>
    <s v="B1"/>
    <x v="1"/>
    <s v="3/31/2011"/>
  </r>
  <r>
    <d v="2011-02-03T00:00:00"/>
    <x v="2"/>
    <s v="I381119"/>
    <s v="Subscriptions"/>
    <n v="478"/>
    <s v="A"/>
    <s v="B1"/>
    <x v="2"/>
    <d v="2011-01-04T00:00:00"/>
  </r>
  <r>
    <d v="2011-05-03T00:00:00"/>
    <x v="3"/>
    <s v="Debit Order"/>
    <s v="Insurance"/>
    <n v="340"/>
    <s v="A"/>
    <s v="B1"/>
    <x v="3"/>
    <d v="2011-05-03T00:00:00"/>
  </r>
  <r>
    <s v="3/15/2011"/>
    <x v="4"/>
    <s v="Bank Statement"/>
    <s v="Service Fees"/>
    <n v="50"/>
    <s v="A"/>
    <s v="B1"/>
    <x v="4"/>
    <s v="3/15/2011"/>
  </r>
  <r>
    <s v="3/15/2011"/>
    <x v="4"/>
    <s v="Bank Statement"/>
    <s v="Service Fees"/>
    <n v="35"/>
    <s v="A"/>
    <s v="B2"/>
    <x v="4"/>
    <s v="3/15/2011"/>
  </r>
  <r>
    <s v="3/15/2011"/>
    <x v="5"/>
    <s v="Invoice "/>
    <s v="Bookkeeping"/>
    <n v="1000"/>
    <s v="A"/>
    <s v="B1"/>
    <x v="5"/>
    <d v="2011-02-04T00:00:00"/>
  </r>
  <r>
    <s v="3/15/2011"/>
    <x v="6"/>
    <s v="Cash"/>
    <s v="Flowers"/>
    <n v="90"/>
    <s v="A"/>
    <s v="PC"/>
    <x v="6"/>
    <s v="3/15/2011"/>
  </r>
  <r>
    <s v="3/18/2011"/>
    <x v="7"/>
    <s v="TR6998"/>
    <s v="Parking"/>
    <n v="200"/>
    <s v="E"/>
    <s v="B1"/>
    <x v="7"/>
    <s v="3/18/2011"/>
  </r>
  <r>
    <s v="3/20/2011"/>
    <x v="8"/>
    <s v="Transfer"/>
    <s v="Inter Account transfer"/>
    <n v="-15000"/>
    <s v="E"/>
    <s v="B2"/>
    <x v="8"/>
    <s v="3/20/2011"/>
  </r>
  <r>
    <s v="3/20/2011"/>
    <x v="8"/>
    <s v="Transfer"/>
    <s v="Inter Account transfer"/>
    <n v="-15000"/>
    <s v="E"/>
    <s v="B1"/>
    <x v="8"/>
    <s v="3/26/2011"/>
  </r>
  <r>
    <s v="3/26/2011"/>
    <x v="8"/>
    <s v="Payroll"/>
    <s v="Salaries"/>
    <n v="13000"/>
    <s v="E"/>
    <s v="B2"/>
    <x v="9"/>
    <s v="3/26/2011"/>
  </r>
  <r>
    <s v="3/26/2011"/>
    <x v="9"/>
    <s v="Debit Order"/>
    <s v="Capital repayment"/>
    <n v="220"/>
    <s v="E"/>
    <s v="B1"/>
    <x v="10"/>
    <s v="3/26/2011"/>
  </r>
  <r>
    <s v="3/26/2011"/>
    <x v="9"/>
    <s v="Debit Order"/>
    <s v="Interest paid"/>
    <n v="100"/>
    <s v="E"/>
    <s v="B1"/>
    <x v="11"/>
    <s v="3/26/2011"/>
  </r>
  <r>
    <s v="3/31/2011"/>
    <x v="10"/>
    <s v="Debit Order"/>
    <s v="Rent"/>
    <n v="6400"/>
    <s v="A"/>
    <s v="B1"/>
    <x v="12"/>
    <s v="3/31/2011"/>
  </r>
  <r>
    <s v="3/31/2011"/>
    <x v="8"/>
    <s v="Bank Statement"/>
    <s v="Petty Cash Reimbursement"/>
    <n v="100"/>
    <s v="E"/>
    <s v="B1"/>
    <x v="8"/>
    <s v="3/31/2011"/>
  </r>
  <r>
    <s v="3/31/2011"/>
    <x v="8"/>
    <s v="Bank Statement"/>
    <s v="Petty Cash Reimbursement"/>
    <n v="-100"/>
    <s v="E"/>
    <s v="PC"/>
    <x v="8"/>
    <s v="3/31/2011"/>
  </r>
  <r>
    <d v="2011-01-04T00:00:00"/>
    <x v="1"/>
    <s v="Invoice EXP23"/>
    <s v="Internet Service Provider"/>
    <n v="179"/>
    <s v="A"/>
    <s v="B1"/>
    <x v="1"/>
    <d v="2011-01-05T00:00:00"/>
  </r>
  <r>
    <d v="2011-05-04T00:00:00"/>
    <x v="3"/>
    <s v="Debit Order"/>
    <s v="Insurance"/>
    <n v="340"/>
    <s v="A"/>
    <s v="B1"/>
    <x v="3"/>
    <d v="2011-05-04T00:00:00"/>
  </r>
  <r>
    <d v="2011-12-04T00:00:00"/>
    <x v="6"/>
    <s v="Cash"/>
    <s v="Flowers"/>
    <n v="87"/>
    <s v="A"/>
    <s v="PC"/>
    <x v="6"/>
    <d v="2011-12-04T00:00:00"/>
  </r>
  <r>
    <s v="4/15/2011"/>
    <x v="4"/>
    <s v="Bank Statement"/>
    <s v="Service Fees"/>
    <n v="80"/>
    <s v="A"/>
    <s v="B1"/>
    <x v="4"/>
    <s v="4/15/2011"/>
  </r>
  <r>
    <s v="4/15/2011"/>
    <x v="4"/>
    <s v="Bank Statement"/>
    <s v="Service Fees"/>
    <n v="35"/>
    <s v="A"/>
    <s v="B2"/>
    <x v="4"/>
    <s v="4/15/2011"/>
  </r>
  <r>
    <s v="4/15/2011"/>
    <x v="5"/>
    <s v="Invoice"/>
    <s v="Bookkeeping"/>
    <n v="1000"/>
    <s v="A"/>
    <s v="B1"/>
    <x v="5"/>
    <d v="2011-03-05T00:00:00"/>
  </r>
  <r>
    <s v="4/20/2011"/>
    <x v="8"/>
    <s v="Transfer"/>
    <s v="Inter Account transfer"/>
    <n v="-20000"/>
    <s v="E"/>
    <s v="B2"/>
    <x v="8"/>
    <s v="4/20/2011"/>
  </r>
  <r>
    <s v="4/20/2011"/>
    <x v="8"/>
    <s v="Transfer"/>
    <s v="Inter Account transfer"/>
    <n v="20000"/>
    <s v="E"/>
    <s v="B1"/>
    <x v="8"/>
    <s v="4/20/2011"/>
  </r>
  <r>
    <s v="4/25/20011"/>
    <x v="11"/>
    <s v="Return"/>
    <s v="Sales Tax"/>
    <n v="1300"/>
    <s v="E"/>
    <s v="B1"/>
    <x v="13"/>
    <s v="4/25/2011"/>
  </r>
  <r>
    <s v="4/26/2011"/>
    <x v="8"/>
    <s v="Payroll"/>
    <s v="Salaries"/>
    <n v="20000"/>
    <s v="E"/>
    <s v="B2"/>
    <x v="9"/>
    <s v="4/26/2011"/>
  </r>
  <r>
    <s v="4/26/2011"/>
    <x v="12"/>
    <s v="Invoice"/>
    <s v="Furniture"/>
    <n v="3000"/>
    <s v="A"/>
    <s v="B1"/>
    <x v="14"/>
    <s v="5/26/2011"/>
  </r>
  <r>
    <s v="4/26/2011"/>
    <x v="9"/>
    <s v="Debit Order"/>
    <s v="Capital repayment"/>
    <n v="220"/>
    <s v="E"/>
    <s v="B1"/>
    <x v="10"/>
    <s v="4/26/2011"/>
  </r>
  <r>
    <s v="4/26/2011"/>
    <x v="9"/>
    <s v="Debit Order"/>
    <s v="Interest paid"/>
    <n v="100"/>
    <s v="E"/>
    <s v="B1"/>
    <x v="11"/>
    <s v="4/26/2011"/>
  </r>
  <r>
    <s v="4/26/2011"/>
    <x v="10"/>
    <s v="Debit Order"/>
    <s v="Rent"/>
    <n v="6400"/>
    <s v="A"/>
    <s v="B1"/>
    <x v="12"/>
    <s v="4/26/2011"/>
  </r>
  <r>
    <s v="4/29/2011"/>
    <x v="13"/>
    <s v="IN1179"/>
    <s v="Consumables"/>
    <n v="41"/>
    <s v="A"/>
    <s v="PC"/>
    <x v="15"/>
    <s v="5/29/2011"/>
  </r>
  <r>
    <s v="4/30/2011"/>
    <x v="8"/>
    <s v="Bank Statement"/>
    <s v="Petty Cash Reimbursement"/>
    <n v="100"/>
    <s v="E"/>
    <s v="B1"/>
    <x v="8"/>
    <s v="4/30/2011"/>
  </r>
  <r>
    <s v="4/30/2011"/>
    <x v="8"/>
    <s v="Bank Statement"/>
    <s v="Petty Cash Reimbursement"/>
    <n v="-100"/>
    <s v="E"/>
    <s v="PC"/>
    <x v="8"/>
    <s v="4/30/2011"/>
  </r>
  <r>
    <d v="2011-01-05T00:00:00"/>
    <x v="1"/>
    <s v="Invoice EXP24"/>
    <s v="Internet Service Provider"/>
    <n v="179"/>
    <s v="A"/>
    <s v="B1"/>
    <x v="1"/>
    <s v="5/31/2011"/>
  </r>
  <r>
    <d v="2011-01-05T00:00:00"/>
    <x v="14"/>
    <s v="Invoice"/>
    <s v="Course"/>
    <n v="220"/>
    <s v="A"/>
    <s v="B1"/>
    <x v="16"/>
    <s v="5/31/2011"/>
  </r>
  <r>
    <s v="5/5/20111"/>
    <x v="3"/>
    <s v="Debit Order"/>
    <s v="Insurance"/>
    <n v="340"/>
    <s v="A"/>
    <s v="B1"/>
    <x v="3"/>
    <d v="2011-05-05T00:00:00"/>
  </r>
  <r>
    <d v="2011-07-05T00:00:00"/>
    <x v="15"/>
    <s v="S50037"/>
    <s v="Accommodation"/>
    <n v="563"/>
    <s v="A"/>
    <s v="B1"/>
    <x v="7"/>
    <d v="2011-07-05T00:00:00"/>
  </r>
  <r>
    <d v="2011-07-05T00:00:00"/>
    <x v="16"/>
    <s v="Invoice"/>
    <s v="Stationary"/>
    <n v="982"/>
    <s v="A"/>
    <s v="B1"/>
    <x v="17"/>
    <d v="2011-06-06T00:00:00"/>
  </r>
  <r>
    <s v="5/15/2011"/>
    <x v="4"/>
    <s v="Bank Statement"/>
    <s v="Service Fees"/>
    <n v="80"/>
    <s v="A"/>
    <s v="B1"/>
    <x v="4"/>
    <s v="5/15/2011"/>
  </r>
  <r>
    <s v="5/15/2011"/>
    <x v="4"/>
    <s v="Bank Statement"/>
    <s v="Service Fees"/>
    <n v="35"/>
    <s v="A"/>
    <s v="B2"/>
    <x v="4"/>
    <s v="5/15/2011"/>
  </r>
  <r>
    <s v="5/15/2011"/>
    <x v="17"/>
    <s v="Invoice"/>
    <s v="Bookkeeping"/>
    <n v="1000"/>
    <s v="A"/>
    <s v="B1"/>
    <x v="5"/>
    <d v="2011-02-06T00:00:00"/>
  </r>
  <r>
    <s v="5/20/2011"/>
    <x v="8"/>
    <s v="Transfer"/>
    <s v="Inter Account transfer"/>
    <n v="-20000"/>
    <s v="E"/>
    <s v="B2"/>
    <x v="8"/>
    <s v="5/20/2011"/>
  </r>
  <r>
    <s v="5/20/2011"/>
    <x v="8"/>
    <s v="Transfer"/>
    <s v="Inter Account transfer"/>
    <n v="20000"/>
    <s v="E"/>
    <s v="B1"/>
    <x v="8"/>
    <s v="5/20/2011"/>
  </r>
  <r>
    <s v="5/26/2011"/>
    <x v="8"/>
    <s v="Payroll"/>
    <s v="Salaries"/>
    <n v="20000"/>
    <s v="E"/>
    <s v="B2"/>
    <x v="9"/>
    <s v="5/26/2011"/>
  </r>
  <r>
    <s v="5/26/2011"/>
    <x v="9"/>
    <s v="Debit Order"/>
    <s v="Capital repayment"/>
    <n v="220"/>
    <s v="E"/>
    <s v="B1"/>
    <x v="10"/>
    <s v="5/26/2011"/>
  </r>
  <r>
    <s v="5/26/2011"/>
    <x v="9"/>
    <s v="Debit Order"/>
    <s v="Interest paid"/>
    <n v="100"/>
    <s v="E"/>
    <s v="B1"/>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0F75DB-278C-4E2A-B4FD-7FC0C2E2579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9">
    <pivotField compact="0" outline="0" showAll="0"/>
    <pivotField axis="axisRow" compact="0" outline="0" showAll="0">
      <items count="19">
        <item x="4"/>
        <item x="15"/>
        <item x="3"/>
        <item x="8"/>
        <item x="12"/>
        <item x="13"/>
        <item x="9"/>
        <item x="17"/>
        <item x="5"/>
        <item x="11"/>
        <item x="6"/>
        <item x="1"/>
        <item x="2"/>
        <item x="10"/>
        <item x="7"/>
        <item x="14"/>
        <item x="16"/>
        <item x="0"/>
        <item t="default"/>
      </items>
    </pivotField>
    <pivotField compact="0" outline="0" showAll="0"/>
    <pivotField compact="0" outline="0" showAll="0"/>
    <pivotField dataField="1" compact="0" numFmtId="2" outline="0" showAll="0"/>
    <pivotField compact="0" outline="0" showAll="0"/>
    <pivotField compact="0" outline="0" showAll="0"/>
    <pivotField compact="0" outline="0" showAll="0">
      <items count="19">
        <item h="1" x="14"/>
        <item h="1" x="8"/>
        <item h="1" x="0"/>
        <item h="1" x="13"/>
        <item h="1" x="10"/>
        <item h="1" x="5"/>
        <item h="1" x="4"/>
        <item h="1" x="15"/>
        <item h="1" x="3"/>
        <item h="1" x="6"/>
        <item h="1" x="12"/>
        <item h="1" x="9"/>
        <item h="1" x="17"/>
        <item x="2"/>
        <item h="1" x="1"/>
        <item h="1" x="16"/>
        <item x="7"/>
        <item h="1" x="11"/>
        <item t="default"/>
      </items>
    </pivotField>
    <pivotField compact="0" outline="0" showAll="0"/>
  </pivotFields>
  <rowFields count="1">
    <field x="1"/>
  </rowFields>
  <rowItems count="4">
    <i>
      <x v="1"/>
    </i>
    <i>
      <x v="12"/>
    </i>
    <i>
      <x v="14"/>
    </i>
    <i t="grand">
      <x/>
    </i>
  </rowItems>
  <colItems count="1">
    <i/>
  </colItems>
  <dataFields count="1">
    <dataField name="Sum of Tax Inclusive Amount"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FF8E6A-14AB-4933-8B58-B37426622094}" autoFormatId="16" applyNumberFormats="0" applyBorderFormats="0" applyFontFormats="0" applyPatternFormats="0" applyAlignmentFormats="0" applyWidthHeightFormats="0">
  <queryTableRefresh nextId="2">
    <queryTableFields count="1">
      <queryTableField id="1" name="Supplier"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00D9CDB5-7A27-4282-8695-5F9E9D1E4BD0}" sourceName="Account Code">
  <pivotTables>
    <pivotTable tabId="2" name="PivotTable1"/>
  </pivotTables>
  <data>
    <tabular pivotCacheId="1667594254">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38264F2A-90F7-4926-9111-38557CE891BB}" cache="Slicer_Account_Code" caption="Account Code" startItem="1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15F812-CC2E-4B87-ACD6-20862D296456}" name="Table2" displayName="Table2" ref="A4:I51" totalsRowShown="0" headerRowDxfId="13" headerRowBorderDxfId="12" tableBorderDxfId="11" totalsRowBorderDxfId="10">
  <autoFilter ref="A4:I51" xr:uid="{F815F812-CC2E-4B87-ACD6-20862D296456}"/>
  <tableColumns count="9">
    <tableColumn id="1" xr3:uid="{914160A4-2F99-4AA9-B5C0-FE80CF45839E}" name="Document Date" dataDxfId="9"/>
    <tableColumn id="2" xr3:uid="{842E34D8-18DF-41B5-8561-7654B565A6F7}" name="Supplier" dataDxfId="8"/>
    <tableColumn id="3" xr3:uid="{FAD1EA0D-5CA6-4AA7-8B66-E1C01797A1BA}" name="Reference" dataDxfId="7"/>
    <tableColumn id="4" xr3:uid="{A378B47B-8A79-4A02-A8A8-8494626B3206}" name="Description" dataDxfId="6"/>
    <tableColumn id="5" xr3:uid="{9D39E31B-4F64-4430-9C80-0085F35CA1DC}" name="Tax Inclusive Amount" dataDxfId="5"/>
    <tableColumn id="6" xr3:uid="{3EA6E62B-773D-4261-AA29-061204AC4C4D}" name="Tax Code" dataDxfId="4"/>
    <tableColumn id="7" xr3:uid="{913CF943-C08F-4687-8D6B-10C53C82D8CD}" name="Bank Code" dataDxfId="3"/>
    <tableColumn id="8" xr3:uid="{F71AE24A-8EC8-4C1E-9F18-03F463A65EC7}" name="Account Code" dataDxfId="2"/>
    <tableColumn id="9" xr3:uid="{2C161DEE-1195-4F9A-AAB1-1A0653A18874}" name="PaymentDate" dataDxfId="1"/>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0C0E9D-492B-4F72-95CE-C6F001993DAB}" name="Table2_1" displayName="Table2_1" ref="A1:A19" tableType="queryTable" totalsRowShown="0">
  <autoFilter ref="A1:A19" xr:uid="{7E0C0E9D-492B-4F72-95CE-C6F001993DAB}"/>
  <tableColumns count="1">
    <tableColumn id="1" xr3:uid="{358C4525-5FDF-4B09-8E1C-99E155A96D8F}" uniqueName="1" name="Supplier"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ED53-B3A3-4AF1-BAD5-D718A829D403}">
  <dimension ref="A1:I68"/>
  <sheetViews>
    <sheetView tabSelected="1" workbookViewId="0">
      <selection activeCell="C70" sqref="C70"/>
    </sheetView>
  </sheetViews>
  <sheetFormatPr defaultRowHeight="14.4" x14ac:dyDescent="0.3"/>
  <cols>
    <col min="1" max="1" width="15.6640625" customWidth="1"/>
    <col min="2" max="2" width="16.5546875" bestFit="1" customWidth="1"/>
    <col min="3" max="3" width="13.6640625" bestFit="1" customWidth="1"/>
    <col min="4" max="4" width="22.88671875" bestFit="1" customWidth="1"/>
    <col min="5" max="5" width="20.21875" style="1" customWidth="1"/>
    <col min="6" max="6" width="10.33203125" customWidth="1"/>
    <col min="7" max="7" width="11.6640625" customWidth="1"/>
    <col min="8" max="8" width="14.33203125" customWidth="1"/>
    <col min="9" max="9" width="14.109375" customWidth="1"/>
  </cols>
  <sheetData>
    <row r="1" spans="1:9" x14ac:dyDescent="0.3">
      <c r="A1" s="5" t="s">
        <v>104</v>
      </c>
    </row>
    <row r="2" spans="1:9" x14ac:dyDescent="0.3">
      <c r="A2" s="4" t="s">
        <v>105</v>
      </c>
    </row>
    <row r="3" spans="1:9" x14ac:dyDescent="0.3">
      <c r="A3" s="4"/>
    </row>
    <row r="4" spans="1:9" x14ac:dyDescent="0.3">
      <c r="A4" s="11" t="s">
        <v>0</v>
      </c>
      <c r="B4" s="12" t="s">
        <v>1</v>
      </c>
      <c r="C4" s="12" t="s">
        <v>2</v>
      </c>
      <c r="D4" s="12" t="s">
        <v>3</v>
      </c>
      <c r="E4" s="13" t="s">
        <v>4</v>
      </c>
      <c r="F4" s="14" t="s">
        <v>108</v>
      </c>
      <c r="G4" s="12" t="s">
        <v>5</v>
      </c>
      <c r="H4" s="12" t="s">
        <v>6</v>
      </c>
      <c r="I4" s="15" t="s">
        <v>7</v>
      </c>
    </row>
    <row r="5" spans="1:9" x14ac:dyDescent="0.3">
      <c r="A5" s="7" t="s">
        <v>8</v>
      </c>
      <c r="B5" s="2" t="s">
        <v>9</v>
      </c>
      <c r="C5" s="2" t="s">
        <v>10</v>
      </c>
      <c r="D5" s="2" t="s">
        <v>11</v>
      </c>
      <c r="E5" s="3">
        <v>5100</v>
      </c>
      <c r="F5" s="2" t="s">
        <v>12</v>
      </c>
      <c r="G5" s="2" t="s">
        <v>13</v>
      </c>
      <c r="H5" s="2" t="s">
        <v>14</v>
      </c>
      <c r="I5" s="9">
        <v>40577</v>
      </c>
    </row>
    <row r="6" spans="1:9" x14ac:dyDescent="0.3">
      <c r="A6" s="8">
        <v>40546</v>
      </c>
      <c r="B6" s="2" t="s">
        <v>16</v>
      </c>
      <c r="C6" s="2" t="s">
        <v>22</v>
      </c>
      <c r="D6" s="2" t="s">
        <v>28</v>
      </c>
      <c r="E6" s="3">
        <v>179</v>
      </c>
      <c r="F6" s="2" t="s">
        <v>12</v>
      </c>
      <c r="G6" s="2" t="s">
        <v>13</v>
      </c>
      <c r="H6" s="2" t="s">
        <v>36</v>
      </c>
      <c r="I6" s="10" t="s">
        <v>42</v>
      </c>
    </row>
    <row r="7" spans="1:9" x14ac:dyDescent="0.3">
      <c r="A7" s="8">
        <v>40577</v>
      </c>
      <c r="B7" s="2" t="s">
        <v>17</v>
      </c>
      <c r="C7" s="2" t="s">
        <v>23</v>
      </c>
      <c r="D7" s="2" t="s">
        <v>29</v>
      </c>
      <c r="E7" s="3">
        <v>478</v>
      </c>
      <c r="F7" s="2" t="s">
        <v>12</v>
      </c>
      <c r="G7" s="2" t="s">
        <v>13</v>
      </c>
      <c r="H7" s="2" t="s">
        <v>37</v>
      </c>
      <c r="I7" s="9">
        <v>40547</v>
      </c>
    </row>
    <row r="8" spans="1:9" x14ac:dyDescent="0.3">
      <c r="A8" s="8">
        <v>40666</v>
      </c>
      <c r="B8" s="2" t="s">
        <v>18</v>
      </c>
      <c r="C8" s="2" t="s">
        <v>24</v>
      </c>
      <c r="D8" s="2" t="s">
        <v>30</v>
      </c>
      <c r="E8" s="3">
        <v>340</v>
      </c>
      <c r="F8" s="2" t="s">
        <v>12</v>
      </c>
      <c r="G8" s="2" t="s">
        <v>13</v>
      </c>
      <c r="H8" s="2" t="s">
        <v>38</v>
      </c>
      <c r="I8" s="9">
        <v>40666</v>
      </c>
    </row>
    <row r="9" spans="1:9" x14ac:dyDescent="0.3">
      <c r="A9" s="7" t="s">
        <v>15</v>
      </c>
      <c r="B9" s="2" t="s">
        <v>19</v>
      </c>
      <c r="C9" s="2" t="s">
        <v>25</v>
      </c>
      <c r="D9" s="2" t="s">
        <v>31</v>
      </c>
      <c r="E9" s="3">
        <v>50</v>
      </c>
      <c r="F9" s="2" t="s">
        <v>12</v>
      </c>
      <c r="G9" s="2" t="s">
        <v>13</v>
      </c>
      <c r="H9" s="2" t="s">
        <v>39</v>
      </c>
      <c r="I9" s="10" t="s">
        <v>15</v>
      </c>
    </row>
    <row r="10" spans="1:9" x14ac:dyDescent="0.3">
      <c r="A10" s="7" t="s">
        <v>15</v>
      </c>
      <c r="B10" s="2" t="s">
        <v>19</v>
      </c>
      <c r="C10" s="2" t="s">
        <v>25</v>
      </c>
      <c r="D10" s="2" t="s">
        <v>31</v>
      </c>
      <c r="E10" s="3">
        <v>35</v>
      </c>
      <c r="F10" s="2" t="s">
        <v>12</v>
      </c>
      <c r="G10" s="2" t="s">
        <v>34</v>
      </c>
      <c r="H10" s="2" t="s">
        <v>39</v>
      </c>
      <c r="I10" s="10" t="s">
        <v>15</v>
      </c>
    </row>
    <row r="11" spans="1:9" x14ac:dyDescent="0.3">
      <c r="A11" s="7" t="s">
        <v>15</v>
      </c>
      <c r="B11" s="2" t="s">
        <v>20</v>
      </c>
      <c r="C11" s="2" t="s">
        <v>26</v>
      </c>
      <c r="D11" s="2" t="s">
        <v>32</v>
      </c>
      <c r="E11" s="3">
        <v>1000</v>
      </c>
      <c r="F11" s="2" t="s">
        <v>12</v>
      </c>
      <c r="G11" s="2" t="s">
        <v>13</v>
      </c>
      <c r="H11" s="2" t="s">
        <v>40</v>
      </c>
      <c r="I11" s="9">
        <v>40578</v>
      </c>
    </row>
    <row r="12" spans="1:9" x14ac:dyDescent="0.3">
      <c r="A12" s="7" t="s">
        <v>15</v>
      </c>
      <c r="B12" s="2" t="s">
        <v>21</v>
      </c>
      <c r="C12" s="2" t="s">
        <v>27</v>
      </c>
      <c r="D12" s="2" t="s">
        <v>33</v>
      </c>
      <c r="E12" s="3">
        <v>90</v>
      </c>
      <c r="F12" s="2" t="s">
        <v>12</v>
      </c>
      <c r="G12" s="2" t="s">
        <v>35</v>
      </c>
      <c r="H12" s="2" t="s">
        <v>41</v>
      </c>
      <c r="I12" s="10" t="s">
        <v>15</v>
      </c>
    </row>
    <row r="13" spans="1:9" x14ac:dyDescent="0.3">
      <c r="A13" s="7" t="s">
        <v>43</v>
      </c>
      <c r="B13" s="2" t="s">
        <v>46</v>
      </c>
      <c r="C13" s="2" t="s">
        <v>50</v>
      </c>
      <c r="D13" s="2" t="s">
        <v>53</v>
      </c>
      <c r="E13" s="3">
        <v>200</v>
      </c>
      <c r="F13" s="2" t="s">
        <v>60</v>
      </c>
      <c r="G13" s="2" t="s">
        <v>13</v>
      </c>
      <c r="H13" s="2" t="s">
        <v>61</v>
      </c>
      <c r="I13" s="10" t="s">
        <v>43</v>
      </c>
    </row>
    <row r="14" spans="1:9" x14ac:dyDescent="0.3">
      <c r="A14" s="7" t="s">
        <v>44</v>
      </c>
      <c r="B14" s="2" t="s">
        <v>47</v>
      </c>
      <c r="C14" s="2" t="s">
        <v>51</v>
      </c>
      <c r="D14" s="2" t="s">
        <v>54</v>
      </c>
      <c r="E14" s="3">
        <v>-15000</v>
      </c>
      <c r="F14" s="2" t="s">
        <v>60</v>
      </c>
      <c r="G14" s="2" t="s">
        <v>34</v>
      </c>
      <c r="H14" s="2" t="s">
        <v>62</v>
      </c>
      <c r="I14" s="10" t="s">
        <v>44</v>
      </c>
    </row>
    <row r="15" spans="1:9" x14ac:dyDescent="0.3">
      <c r="A15" s="7" t="s">
        <v>44</v>
      </c>
      <c r="B15" s="2" t="s">
        <v>47</v>
      </c>
      <c r="C15" s="2" t="s">
        <v>51</v>
      </c>
      <c r="D15" s="2" t="s">
        <v>54</v>
      </c>
      <c r="E15" s="3">
        <v>-15000</v>
      </c>
      <c r="F15" s="2" t="s">
        <v>60</v>
      </c>
      <c r="G15" s="2" t="s">
        <v>13</v>
      </c>
      <c r="H15" s="2" t="s">
        <v>62</v>
      </c>
      <c r="I15" s="10" t="s">
        <v>45</v>
      </c>
    </row>
    <row r="16" spans="1:9" x14ac:dyDescent="0.3">
      <c r="A16" s="7" t="s">
        <v>45</v>
      </c>
      <c r="B16" s="2" t="s">
        <v>47</v>
      </c>
      <c r="C16" s="2" t="s">
        <v>52</v>
      </c>
      <c r="D16" s="2" t="s">
        <v>55</v>
      </c>
      <c r="E16" s="3">
        <v>13000</v>
      </c>
      <c r="F16" s="2" t="s">
        <v>60</v>
      </c>
      <c r="G16" s="2" t="s">
        <v>34</v>
      </c>
      <c r="H16" s="2" t="s">
        <v>63</v>
      </c>
      <c r="I16" s="10" t="s">
        <v>45</v>
      </c>
    </row>
    <row r="17" spans="1:9" x14ac:dyDescent="0.3">
      <c r="A17" s="7" t="s">
        <v>45</v>
      </c>
      <c r="B17" s="2" t="s">
        <v>48</v>
      </c>
      <c r="C17" s="2" t="s">
        <v>24</v>
      </c>
      <c r="D17" s="2" t="s">
        <v>56</v>
      </c>
      <c r="E17" s="3">
        <v>220</v>
      </c>
      <c r="F17" s="2" t="s">
        <v>60</v>
      </c>
      <c r="G17" s="2" t="s">
        <v>13</v>
      </c>
      <c r="H17" s="2" t="s">
        <v>64</v>
      </c>
      <c r="I17" s="10" t="s">
        <v>45</v>
      </c>
    </row>
    <row r="18" spans="1:9" x14ac:dyDescent="0.3">
      <c r="A18" s="7" t="s">
        <v>45</v>
      </c>
      <c r="B18" s="2" t="s">
        <v>48</v>
      </c>
      <c r="C18" s="2" t="s">
        <v>24</v>
      </c>
      <c r="D18" s="2" t="s">
        <v>57</v>
      </c>
      <c r="E18" s="3">
        <v>100</v>
      </c>
      <c r="F18" s="2" t="s">
        <v>60</v>
      </c>
      <c r="G18" s="2" t="s">
        <v>13</v>
      </c>
      <c r="H18" s="2" t="s">
        <v>65</v>
      </c>
      <c r="I18" s="10" t="s">
        <v>45</v>
      </c>
    </row>
    <row r="19" spans="1:9" x14ac:dyDescent="0.3">
      <c r="A19" s="7" t="s">
        <v>42</v>
      </c>
      <c r="B19" s="2" t="s">
        <v>49</v>
      </c>
      <c r="C19" s="2" t="s">
        <v>24</v>
      </c>
      <c r="D19" s="2" t="s">
        <v>58</v>
      </c>
      <c r="E19" s="3">
        <v>6400</v>
      </c>
      <c r="F19" s="2" t="s">
        <v>12</v>
      </c>
      <c r="G19" s="2" t="s">
        <v>13</v>
      </c>
      <c r="H19" s="2" t="s">
        <v>66</v>
      </c>
      <c r="I19" s="10" t="s">
        <v>42</v>
      </c>
    </row>
    <row r="20" spans="1:9" x14ac:dyDescent="0.3">
      <c r="A20" s="7" t="s">
        <v>42</v>
      </c>
      <c r="B20" s="2" t="s">
        <v>47</v>
      </c>
      <c r="C20" s="2" t="s">
        <v>25</v>
      </c>
      <c r="D20" s="2" t="s">
        <v>59</v>
      </c>
      <c r="E20" s="3">
        <v>100</v>
      </c>
      <c r="F20" s="2" t="s">
        <v>60</v>
      </c>
      <c r="G20" s="2" t="s">
        <v>13</v>
      </c>
      <c r="H20" s="2" t="s">
        <v>62</v>
      </c>
      <c r="I20" s="10" t="s">
        <v>42</v>
      </c>
    </row>
    <row r="21" spans="1:9" x14ac:dyDescent="0.3">
      <c r="A21" s="7" t="s">
        <v>42</v>
      </c>
      <c r="B21" s="2" t="s">
        <v>47</v>
      </c>
      <c r="C21" s="2" t="s">
        <v>25</v>
      </c>
      <c r="D21" s="2" t="s">
        <v>59</v>
      </c>
      <c r="E21" s="3">
        <v>-100</v>
      </c>
      <c r="F21" s="2" t="s">
        <v>60</v>
      </c>
      <c r="G21" s="2" t="s">
        <v>35</v>
      </c>
      <c r="H21" s="2" t="s">
        <v>62</v>
      </c>
      <c r="I21" s="10" t="s">
        <v>42</v>
      </c>
    </row>
    <row r="22" spans="1:9" x14ac:dyDescent="0.3">
      <c r="A22" s="8">
        <v>40547</v>
      </c>
      <c r="B22" s="2" t="s">
        <v>16</v>
      </c>
      <c r="C22" s="2" t="s">
        <v>69</v>
      </c>
      <c r="D22" s="2" t="s">
        <v>28</v>
      </c>
      <c r="E22" s="3">
        <v>179</v>
      </c>
      <c r="F22" s="2" t="s">
        <v>12</v>
      </c>
      <c r="G22" s="2" t="s">
        <v>13</v>
      </c>
      <c r="H22" s="2" t="s">
        <v>36</v>
      </c>
      <c r="I22" s="9">
        <v>40548</v>
      </c>
    </row>
    <row r="23" spans="1:9" x14ac:dyDescent="0.3">
      <c r="A23" s="8">
        <v>40667</v>
      </c>
      <c r="B23" s="2" t="s">
        <v>18</v>
      </c>
      <c r="C23" s="2" t="s">
        <v>24</v>
      </c>
      <c r="D23" s="2" t="s">
        <v>30</v>
      </c>
      <c r="E23" s="3">
        <v>340</v>
      </c>
      <c r="F23" s="2" t="s">
        <v>12</v>
      </c>
      <c r="G23" s="2" t="s">
        <v>13</v>
      </c>
      <c r="H23" s="2" t="s">
        <v>38</v>
      </c>
      <c r="I23" s="9">
        <v>40667</v>
      </c>
    </row>
    <row r="24" spans="1:9" x14ac:dyDescent="0.3">
      <c r="A24" s="8">
        <v>40881</v>
      </c>
      <c r="B24" s="2" t="s">
        <v>21</v>
      </c>
      <c r="C24" s="2" t="s">
        <v>27</v>
      </c>
      <c r="D24" s="2" t="s">
        <v>33</v>
      </c>
      <c r="E24" s="3">
        <v>87</v>
      </c>
      <c r="F24" s="2" t="s">
        <v>12</v>
      </c>
      <c r="G24" s="2" t="s">
        <v>35</v>
      </c>
      <c r="H24" s="2" t="s">
        <v>41</v>
      </c>
      <c r="I24" s="9">
        <v>40881</v>
      </c>
    </row>
    <row r="25" spans="1:9" x14ac:dyDescent="0.3">
      <c r="A25" s="7" t="s">
        <v>67</v>
      </c>
      <c r="B25" s="2" t="s">
        <v>19</v>
      </c>
      <c r="C25" s="2" t="s">
        <v>25</v>
      </c>
      <c r="D25" s="2" t="s">
        <v>31</v>
      </c>
      <c r="E25" s="3">
        <v>80</v>
      </c>
      <c r="F25" s="2" t="s">
        <v>12</v>
      </c>
      <c r="G25" s="2" t="s">
        <v>13</v>
      </c>
      <c r="H25" s="2" t="s">
        <v>39</v>
      </c>
      <c r="I25" s="10" t="s">
        <v>67</v>
      </c>
    </row>
    <row r="26" spans="1:9" x14ac:dyDescent="0.3">
      <c r="A26" s="7" t="s">
        <v>67</v>
      </c>
      <c r="B26" s="2" t="s">
        <v>19</v>
      </c>
      <c r="C26" s="2" t="s">
        <v>25</v>
      </c>
      <c r="D26" s="2" t="s">
        <v>31</v>
      </c>
      <c r="E26" s="3">
        <v>35</v>
      </c>
      <c r="F26" s="2" t="s">
        <v>12</v>
      </c>
      <c r="G26" s="2" t="s">
        <v>34</v>
      </c>
      <c r="H26" s="2" t="s">
        <v>39</v>
      </c>
      <c r="I26" s="10" t="s">
        <v>67</v>
      </c>
    </row>
    <row r="27" spans="1:9" x14ac:dyDescent="0.3">
      <c r="A27" s="7" t="s">
        <v>67</v>
      </c>
      <c r="B27" s="2" t="s">
        <v>20</v>
      </c>
      <c r="C27" s="2" t="s">
        <v>70</v>
      </c>
      <c r="D27" s="2" t="s">
        <v>32</v>
      </c>
      <c r="E27" s="3">
        <v>1000</v>
      </c>
      <c r="F27" s="2" t="s">
        <v>12</v>
      </c>
      <c r="G27" s="2" t="s">
        <v>13</v>
      </c>
      <c r="H27" s="2" t="s">
        <v>40</v>
      </c>
      <c r="I27" s="9">
        <v>40607</v>
      </c>
    </row>
    <row r="28" spans="1:9" x14ac:dyDescent="0.3">
      <c r="A28" s="7" t="s">
        <v>68</v>
      </c>
      <c r="B28" s="2" t="s">
        <v>47</v>
      </c>
      <c r="C28" s="2" t="s">
        <v>51</v>
      </c>
      <c r="D28" s="2" t="s">
        <v>54</v>
      </c>
      <c r="E28" s="3">
        <v>-20000</v>
      </c>
      <c r="F28" s="2" t="s">
        <v>60</v>
      </c>
      <c r="G28" s="2" t="s">
        <v>34</v>
      </c>
      <c r="H28" s="2" t="s">
        <v>62</v>
      </c>
      <c r="I28" s="10" t="s">
        <v>68</v>
      </c>
    </row>
    <row r="29" spans="1:9" x14ac:dyDescent="0.3">
      <c r="A29" s="7" t="s">
        <v>68</v>
      </c>
      <c r="B29" s="2" t="s">
        <v>47</v>
      </c>
      <c r="C29" s="2" t="s">
        <v>51</v>
      </c>
      <c r="D29" s="2" t="s">
        <v>54</v>
      </c>
      <c r="E29" s="3">
        <v>20000</v>
      </c>
      <c r="F29" s="2" t="s">
        <v>60</v>
      </c>
      <c r="G29" s="2" t="s">
        <v>13</v>
      </c>
      <c r="H29" s="2" t="s">
        <v>62</v>
      </c>
      <c r="I29" s="10" t="s">
        <v>68</v>
      </c>
    </row>
    <row r="30" spans="1:9" x14ac:dyDescent="0.3">
      <c r="A30" s="7" t="s">
        <v>71</v>
      </c>
      <c r="B30" s="2" t="s">
        <v>75</v>
      </c>
      <c r="C30" s="2" t="s">
        <v>78</v>
      </c>
      <c r="D30" s="2" t="s">
        <v>81</v>
      </c>
      <c r="E30" s="3">
        <v>1300</v>
      </c>
      <c r="F30" s="2" t="s">
        <v>60</v>
      </c>
      <c r="G30" s="2" t="s">
        <v>13</v>
      </c>
      <c r="H30" s="2" t="s">
        <v>84</v>
      </c>
      <c r="I30" s="10" t="s">
        <v>87</v>
      </c>
    </row>
    <row r="31" spans="1:9" x14ac:dyDescent="0.3">
      <c r="A31" s="7" t="s">
        <v>72</v>
      </c>
      <c r="B31" s="2" t="s">
        <v>47</v>
      </c>
      <c r="C31" s="2" t="s">
        <v>52</v>
      </c>
      <c r="D31" s="2" t="s">
        <v>55</v>
      </c>
      <c r="E31" s="3">
        <v>20000</v>
      </c>
      <c r="F31" s="2" t="s">
        <v>60</v>
      </c>
      <c r="G31" s="2" t="s">
        <v>34</v>
      </c>
      <c r="H31" s="2" t="s">
        <v>63</v>
      </c>
      <c r="I31" s="10" t="s">
        <v>72</v>
      </c>
    </row>
    <row r="32" spans="1:9" x14ac:dyDescent="0.3">
      <c r="A32" s="7" t="s">
        <v>72</v>
      </c>
      <c r="B32" s="2" t="s">
        <v>76</v>
      </c>
      <c r="C32" s="2" t="s">
        <v>70</v>
      </c>
      <c r="D32" s="2" t="s">
        <v>82</v>
      </c>
      <c r="E32" s="3">
        <v>3000</v>
      </c>
      <c r="F32" s="2" t="s">
        <v>12</v>
      </c>
      <c r="G32" s="2" t="s">
        <v>13</v>
      </c>
      <c r="H32" s="2" t="s">
        <v>85</v>
      </c>
      <c r="I32" s="10" t="s">
        <v>88</v>
      </c>
    </row>
    <row r="33" spans="1:9" x14ac:dyDescent="0.3">
      <c r="A33" s="7" t="s">
        <v>72</v>
      </c>
      <c r="B33" s="2" t="s">
        <v>48</v>
      </c>
      <c r="C33" s="2" t="s">
        <v>24</v>
      </c>
      <c r="D33" s="2" t="s">
        <v>56</v>
      </c>
      <c r="E33" s="3">
        <v>220</v>
      </c>
      <c r="F33" s="2" t="s">
        <v>60</v>
      </c>
      <c r="G33" s="2" t="s">
        <v>13</v>
      </c>
      <c r="H33" s="2" t="s">
        <v>64</v>
      </c>
      <c r="I33" s="10" t="s">
        <v>72</v>
      </c>
    </row>
    <row r="34" spans="1:9" x14ac:dyDescent="0.3">
      <c r="A34" s="7" t="s">
        <v>72</v>
      </c>
      <c r="B34" s="2" t="s">
        <v>48</v>
      </c>
      <c r="C34" s="2" t="s">
        <v>24</v>
      </c>
      <c r="D34" s="2" t="s">
        <v>57</v>
      </c>
      <c r="E34" s="3">
        <v>100</v>
      </c>
      <c r="F34" s="2" t="s">
        <v>60</v>
      </c>
      <c r="G34" s="2" t="s">
        <v>13</v>
      </c>
      <c r="H34" s="2" t="s">
        <v>65</v>
      </c>
      <c r="I34" s="10" t="s">
        <v>72</v>
      </c>
    </row>
    <row r="35" spans="1:9" x14ac:dyDescent="0.3">
      <c r="A35" s="7" t="s">
        <v>72</v>
      </c>
      <c r="B35" s="2" t="s">
        <v>49</v>
      </c>
      <c r="C35" s="2" t="s">
        <v>24</v>
      </c>
      <c r="D35" s="2" t="s">
        <v>58</v>
      </c>
      <c r="E35" s="3">
        <v>6400</v>
      </c>
      <c r="F35" s="2" t="s">
        <v>12</v>
      </c>
      <c r="G35" s="2" t="s">
        <v>13</v>
      </c>
      <c r="H35" s="2" t="s">
        <v>66</v>
      </c>
      <c r="I35" s="10" t="s">
        <v>72</v>
      </c>
    </row>
    <row r="36" spans="1:9" x14ac:dyDescent="0.3">
      <c r="A36" s="7" t="s">
        <v>73</v>
      </c>
      <c r="B36" s="2" t="s">
        <v>77</v>
      </c>
      <c r="C36" s="2" t="s">
        <v>79</v>
      </c>
      <c r="D36" s="2" t="s">
        <v>83</v>
      </c>
      <c r="E36" s="3">
        <v>41</v>
      </c>
      <c r="F36" s="2" t="s">
        <v>12</v>
      </c>
      <c r="G36" s="2" t="s">
        <v>35</v>
      </c>
      <c r="H36" s="2" t="s">
        <v>86</v>
      </c>
      <c r="I36" s="10" t="s">
        <v>89</v>
      </c>
    </row>
    <row r="37" spans="1:9" x14ac:dyDescent="0.3">
      <c r="A37" s="7" t="s">
        <v>74</v>
      </c>
      <c r="B37" s="2" t="s">
        <v>47</v>
      </c>
      <c r="C37" s="2" t="s">
        <v>25</v>
      </c>
      <c r="D37" s="2" t="s">
        <v>59</v>
      </c>
      <c r="E37" s="3">
        <v>100</v>
      </c>
      <c r="F37" s="2" t="s">
        <v>60</v>
      </c>
      <c r="G37" s="2" t="s">
        <v>13</v>
      </c>
      <c r="H37" s="2" t="s">
        <v>62</v>
      </c>
      <c r="I37" s="10" t="s">
        <v>74</v>
      </c>
    </row>
    <row r="38" spans="1:9" x14ac:dyDescent="0.3">
      <c r="A38" s="7" t="s">
        <v>74</v>
      </c>
      <c r="B38" s="2" t="s">
        <v>47</v>
      </c>
      <c r="C38" s="2" t="s">
        <v>25</v>
      </c>
      <c r="D38" s="2" t="s">
        <v>59</v>
      </c>
      <c r="E38" s="3">
        <v>-100</v>
      </c>
      <c r="F38" s="2" t="s">
        <v>60</v>
      </c>
      <c r="G38" s="2" t="s">
        <v>35</v>
      </c>
      <c r="H38" s="2" t="s">
        <v>62</v>
      </c>
      <c r="I38" s="10" t="s">
        <v>74</v>
      </c>
    </row>
    <row r="39" spans="1:9" x14ac:dyDescent="0.3">
      <c r="A39" s="8">
        <v>40548</v>
      </c>
      <c r="B39" s="2" t="s">
        <v>16</v>
      </c>
      <c r="C39" s="2" t="s">
        <v>80</v>
      </c>
      <c r="D39" s="2" t="s">
        <v>28</v>
      </c>
      <c r="E39" s="3">
        <v>179</v>
      </c>
      <c r="F39" s="2" t="s">
        <v>12</v>
      </c>
      <c r="G39" s="2" t="s">
        <v>13</v>
      </c>
      <c r="H39" s="2" t="s">
        <v>36</v>
      </c>
      <c r="I39" s="10" t="s">
        <v>90</v>
      </c>
    </row>
    <row r="40" spans="1:9" x14ac:dyDescent="0.3">
      <c r="A40" s="8">
        <v>40548</v>
      </c>
      <c r="B40" s="2" t="s">
        <v>94</v>
      </c>
      <c r="C40" s="2" t="s">
        <v>70</v>
      </c>
      <c r="D40" s="2" t="s">
        <v>99</v>
      </c>
      <c r="E40" s="3">
        <v>220</v>
      </c>
      <c r="F40" s="2" t="s">
        <v>12</v>
      </c>
      <c r="G40" s="2" t="s">
        <v>13</v>
      </c>
      <c r="H40" s="2" t="s">
        <v>102</v>
      </c>
      <c r="I40" s="10" t="s">
        <v>90</v>
      </c>
    </row>
    <row r="41" spans="1:9" x14ac:dyDescent="0.3">
      <c r="A41" s="7" t="s">
        <v>91</v>
      </c>
      <c r="B41" s="2" t="s">
        <v>18</v>
      </c>
      <c r="C41" s="2" t="s">
        <v>24</v>
      </c>
      <c r="D41" s="2" t="s">
        <v>30</v>
      </c>
      <c r="E41" s="3">
        <v>340</v>
      </c>
      <c r="F41" s="2" t="s">
        <v>12</v>
      </c>
      <c r="G41" s="2" t="s">
        <v>13</v>
      </c>
      <c r="H41" s="2" t="s">
        <v>38</v>
      </c>
      <c r="I41" s="9">
        <v>40668</v>
      </c>
    </row>
    <row r="42" spans="1:9" x14ac:dyDescent="0.3">
      <c r="A42" s="8">
        <v>40729</v>
      </c>
      <c r="B42" s="2" t="s">
        <v>95</v>
      </c>
      <c r="C42" s="2" t="s">
        <v>98</v>
      </c>
      <c r="D42" s="2" t="s">
        <v>100</v>
      </c>
      <c r="E42" s="3">
        <v>563</v>
      </c>
      <c r="F42" s="2" t="s">
        <v>12</v>
      </c>
      <c r="G42" s="2" t="s">
        <v>13</v>
      </c>
      <c r="H42" s="2" t="s">
        <v>61</v>
      </c>
      <c r="I42" s="9">
        <v>40729</v>
      </c>
    </row>
    <row r="43" spans="1:9" x14ac:dyDescent="0.3">
      <c r="A43" s="8">
        <v>40729</v>
      </c>
      <c r="B43" s="2" t="s">
        <v>96</v>
      </c>
      <c r="C43" s="2" t="s">
        <v>70</v>
      </c>
      <c r="D43" s="2" t="s">
        <v>101</v>
      </c>
      <c r="E43" s="3">
        <v>982</v>
      </c>
      <c r="F43" s="2" t="s">
        <v>12</v>
      </c>
      <c r="G43" s="2" t="s">
        <v>13</v>
      </c>
      <c r="H43" s="2" t="s">
        <v>103</v>
      </c>
      <c r="I43" s="9">
        <v>40700</v>
      </c>
    </row>
    <row r="44" spans="1:9" x14ac:dyDescent="0.3">
      <c r="A44" s="7" t="s">
        <v>92</v>
      </c>
      <c r="B44" s="2" t="s">
        <v>19</v>
      </c>
      <c r="C44" s="2" t="s">
        <v>25</v>
      </c>
      <c r="D44" s="2" t="s">
        <v>31</v>
      </c>
      <c r="E44" s="3">
        <v>80</v>
      </c>
      <c r="F44" s="2" t="s">
        <v>12</v>
      </c>
      <c r="G44" s="2" t="s">
        <v>13</v>
      </c>
      <c r="H44" s="2" t="s">
        <v>39</v>
      </c>
      <c r="I44" s="10" t="s">
        <v>92</v>
      </c>
    </row>
    <row r="45" spans="1:9" x14ac:dyDescent="0.3">
      <c r="A45" s="7" t="s">
        <v>92</v>
      </c>
      <c r="B45" s="2" t="s">
        <v>19</v>
      </c>
      <c r="C45" s="2" t="s">
        <v>25</v>
      </c>
      <c r="D45" s="2" t="s">
        <v>31</v>
      </c>
      <c r="E45" s="3">
        <v>35</v>
      </c>
      <c r="F45" s="2" t="s">
        <v>12</v>
      </c>
      <c r="G45" s="2" t="s">
        <v>34</v>
      </c>
      <c r="H45" s="2" t="s">
        <v>39</v>
      </c>
      <c r="I45" s="10" t="s">
        <v>92</v>
      </c>
    </row>
    <row r="46" spans="1:9" x14ac:dyDescent="0.3">
      <c r="A46" s="7" t="s">
        <v>92</v>
      </c>
      <c r="B46" s="2" t="s">
        <v>97</v>
      </c>
      <c r="C46" s="2" t="s">
        <v>70</v>
      </c>
      <c r="D46" s="2" t="s">
        <v>32</v>
      </c>
      <c r="E46" s="3">
        <v>1000</v>
      </c>
      <c r="F46" s="2" t="s">
        <v>12</v>
      </c>
      <c r="G46" s="2" t="s">
        <v>13</v>
      </c>
      <c r="H46" s="2" t="s">
        <v>40</v>
      </c>
      <c r="I46" s="9">
        <v>40580</v>
      </c>
    </row>
    <row r="47" spans="1:9" x14ac:dyDescent="0.3">
      <c r="A47" s="7" t="s">
        <v>93</v>
      </c>
      <c r="B47" s="2" t="s">
        <v>47</v>
      </c>
      <c r="C47" s="2" t="s">
        <v>51</v>
      </c>
      <c r="D47" s="2" t="s">
        <v>54</v>
      </c>
      <c r="E47" s="3">
        <v>-20000</v>
      </c>
      <c r="F47" s="2" t="s">
        <v>60</v>
      </c>
      <c r="G47" s="2" t="s">
        <v>34</v>
      </c>
      <c r="H47" s="2" t="s">
        <v>62</v>
      </c>
      <c r="I47" s="10" t="s">
        <v>93</v>
      </c>
    </row>
    <row r="48" spans="1:9" x14ac:dyDescent="0.3">
      <c r="A48" s="7" t="s">
        <v>93</v>
      </c>
      <c r="B48" s="2" t="s">
        <v>47</v>
      </c>
      <c r="C48" s="2" t="s">
        <v>51</v>
      </c>
      <c r="D48" s="2" t="s">
        <v>54</v>
      </c>
      <c r="E48" s="3">
        <v>20000</v>
      </c>
      <c r="F48" s="2" t="s">
        <v>60</v>
      </c>
      <c r="G48" s="2" t="s">
        <v>13</v>
      </c>
      <c r="H48" s="2" t="s">
        <v>62</v>
      </c>
      <c r="I48" s="10" t="s">
        <v>93</v>
      </c>
    </row>
    <row r="49" spans="1:9" x14ac:dyDescent="0.3">
      <c r="A49" s="7" t="s">
        <v>88</v>
      </c>
      <c r="B49" s="2" t="s">
        <v>47</v>
      </c>
      <c r="C49" s="2" t="s">
        <v>52</v>
      </c>
      <c r="D49" s="2" t="s">
        <v>55</v>
      </c>
      <c r="E49" s="3">
        <v>20000</v>
      </c>
      <c r="F49" s="2" t="s">
        <v>60</v>
      </c>
      <c r="G49" s="2" t="s">
        <v>34</v>
      </c>
      <c r="H49" s="2" t="s">
        <v>63</v>
      </c>
      <c r="I49" s="10" t="s">
        <v>88</v>
      </c>
    </row>
    <row r="50" spans="1:9" x14ac:dyDescent="0.3">
      <c r="A50" s="7" t="s">
        <v>88</v>
      </c>
      <c r="B50" s="2" t="s">
        <v>48</v>
      </c>
      <c r="C50" s="2" t="s">
        <v>24</v>
      </c>
      <c r="D50" s="2" t="s">
        <v>56</v>
      </c>
      <c r="E50" s="3">
        <v>220</v>
      </c>
      <c r="F50" s="2" t="s">
        <v>60</v>
      </c>
      <c r="G50" s="2" t="s">
        <v>13</v>
      </c>
      <c r="H50" s="2" t="s">
        <v>64</v>
      </c>
      <c r="I50" s="10" t="s">
        <v>88</v>
      </c>
    </row>
    <row r="51" spans="1:9" x14ac:dyDescent="0.3">
      <c r="A51" s="16" t="s">
        <v>88</v>
      </c>
      <c r="B51" s="17" t="s">
        <v>48</v>
      </c>
      <c r="C51" s="17" t="s">
        <v>24</v>
      </c>
      <c r="D51" s="17" t="s">
        <v>57</v>
      </c>
      <c r="E51" s="18">
        <v>100</v>
      </c>
      <c r="F51" s="17" t="s">
        <v>60</v>
      </c>
      <c r="G51" s="17" t="s">
        <v>13</v>
      </c>
      <c r="H51" s="17" t="s">
        <v>65</v>
      </c>
      <c r="I51" s="19" t="s">
        <v>88</v>
      </c>
    </row>
    <row r="56" spans="1:9" x14ac:dyDescent="0.3">
      <c r="A56" s="21" t="s">
        <v>118</v>
      </c>
    </row>
    <row r="57" spans="1:9" s="22" customFormat="1" x14ac:dyDescent="0.3">
      <c r="A57" s="22" t="s">
        <v>114</v>
      </c>
    </row>
    <row r="58" spans="1:9" ht="15" customHeight="1" x14ac:dyDescent="0.3">
      <c r="A58" t="s">
        <v>106</v>
      </c>
      <c r="B58" s="20"/>
      <c r="C58" s="20"/>
      <c r="D58" s="20"/>
    </row>
    <row r="59" spans="1:9" x14ac:dyDescent="0.3">
      <c r="A59" s="20" t="s">
        <v>107</v>
      </c>
    </row>
    <row r="60" spans="1:9" x14ac:dyDescent="0.3">
      <c r="A60" s="20"/>
    </row>
    <row r="61" spans="1:9" s="23" customFormat="1" x14ac:dyDescent="0.3">
      <c r="A61" s="22" t="s">
        <v>115</v>
      </c>
      <c r="E61" s="24"/>
    </row>
    <row r="62" spans="1:9" x14ac:dyDescent="0.3">
      <c r="A62" t="s">
        <v>109</v>
      </c>
    </row>
    <row r="63" spans="1:9" x14ac:dyDescent="0.3">
      <c r="A63" t="s">
        <v>112</v>
      </c>
    </row>
    <row r="65" spans="1:5" s="22" customFormat="1" x14ac:dyDescent="0.3">
      <c r="A65" s="22" t="s">
        <v>116</v>
      </c>
      <c r="E65" s="25"/>
    </row>
    <row r="66" spans="1:5" s="22" customFormat="1" x14ac:dyDescent="0.3">
      <c r="A66" s="22" t="s">
        <v>117</v>
      </c>
      <c r="E66" s="25"/>
    </row>
    <row r="67" spans="1:5" x14ac:dyDescent="0.3">
      <c r="A67" t="s">
        <v>106</v>
      </c>
    </row>
    <row r="68" spans="1:5" x14ac:dyDescent="0.3">
      <c r="A68" t="s">
        <v>113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F90F-DD4B-4178-B85C-D213BA23D922}">
  <dimension ref="A3:B7"/>
  <sheetViews>
    <sheetView workbookViewId="0">
      <selection activeCell="A4" sqref="A4:A6"/>
      <pivotSelection pane="bottomRight" showHeader="1" axis="axisRow" activeRow="2" previousRow="2" click="1" r:id="rId1">
        <pivotArea dataOnly="0" labelOnly="1" outline="0" fieldPosition="0">
          <references count="1">
            <reference field="1" count="0"/>
          </references>
        </pivotArea>
      </pivotSelection>
    </sheetView>
  </sheetViews>
  <sheetFormatPr defaultRowHeight="14.4" x14ac:dyDescent="0.3"/>
  <cols>
    <col min="1" max="1" width="14.21875" bestFit="1" customWidth="1"/>
    <col min="2" max="2" width="24.6640625" bestFit="1" customWidth="1"/>
    <col min="3" max="3" width="19.77734375" bestFit="1" customWidth="1"/>
    <col min="4" max="5" width="7.5546875" bestFit="1" customWidth="1"/>
    <col min="6" max="6" width="6.88671875" bestFit="1" customWidth="1"/>
    <col min="7" max="7" width="7.5546875" bestFit="1" customWidth="1"/>
    <col min="8" max="8" width="6.5546875" bestFit="1" customWidth="1"/>
    <col min="9" max="9" width="6.33203125" bestFit="1" customWidth="1"/>
    <col min="10" max="10" width="7.5546875" bestFit="1" customWidth="1"/>
    <col min="11" max="11" width="6.5546875" bestFit="1" customWidth="1"/>
    <col min="12" max="13" width="8.5546875" bestFit="1" customWidth="1"/>
    <col min="14" max="19" width="6.5546875" bestFit="1" customWidth="1"/>
    <col min="20" max="20" width="10.5546875" bestFit="1" customWidth="1"/>
    <col min="21" max="23" width="7.5546875" bestFit="1" customWidth="1"/>
    <col min="24" max="25" width="8.5546875" bestFit="1" customWidth="1"/>
    <col min="26" max="26" width="10.5546875" bestFit="1" customWidth="1"/>
  </cols>
  <sheetData>
    <row r="3" spans="1:2" x14ac:dyDescent="0.3">
      <c r="A3" s="6" t="s">
        <v>1</v>
      </c>
      <c r="B3" t="s">
        <v>111</v>
      </c>
    </row>
    <row r="4" spans="1:2" x14ac:dyDescent="0.3">
      <c r="A4" t="s">
        <v>95</v>
      </c>
      <c r="B4" s="1">
        <v>563</v>
      </c>
    </row>
    <row r="5" spans="1:2" x14ac:dyDescent="0.3">
      <c r="A5" t="s">
        <v>17</v>
      </c>
      <c r="B5" s="1">
        <v>478</v>
      </c>
    </row>
    <row r="6" spans="1:2" x14ac:dyDescent="0.3">
      <c r="A6" t="s">
        <v>46</v>
      </c>
      <c r="B6" s="1">
        <v>200</v>
      </c>
    </row>
    <row r="7" spans="1:2" x14ac:dyDescent="0.3">
      <c r="A7" t="s">
        <v>110</v>
      </c>
      <c r="B7" s="1">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88336-CBA2-4011-B3A3-35F7675984E3}">
  <dimension ref="A1:A19"/>
  <sheetViews>
    <sheetView workbookViewId="0">
      <selection activeCell="C10" sqref="C10"/>
    </sheetView>
  </sheetViews>
  <sheetFormatPr defaultRowHeight="14.4" x14ac:dyDescent="0.3"/>
  <cols>
    <col min="1" max="1" width="16.5546875" bestFit="1" customWidth="1"/>
  </cols>
  <sheetData>
    <row r="1" spans="1:1" x14ac:dyDescent="0.3">
      <c r="A1" t="s">
        <v>1</v>
      </c>
    </row>
    <row r="2" spans="1:1" x14ac:dyDescent="0.3">
      <c r="A2" t="s">
        <v>9</v>
      </c>
    </row>
    <row r="3" spans="1:1" x14ac:dyDescent="0.3">
      <c r="A3" t="s">
        <v>16</v>
      </c>
    </row>
    <row r="4" spans="1:1" x14ac:dyDescent="0.3">
      <c r="A4" t="s">
        <v>17</v>
      </c>
    </row>
    <row r="5" spans="1:1" x14ac:dyDescent="0.3">
      <c r="A5" t="s">
        <v>18</v>
      </c>
    </row>
    <row r="6" spans="1:1" x14ac:dyDescent="0.3">
      <c r="A6" t="s">
        <v>19</v>
      </c>
    </row>
    <row r="7" spans="1:1" x14ac:dyDescent="0.3">
      <c r="A7" t="s">
        <v>20</v>
      </c>
    </row>
    <row r="8" spans="1:1" x14ac:dyDescent="0.3">
      <c r="A8" t="s">
        <v>21</v>
      </c>
    </row>
    <row r="9" spans="1:1" x14ac:dyDescent="0.3">
      <c r="A9" t="s">
        <v>46</v>
      </c>
    </row>
    <row r="10" spans="1:1" x14ac:dyDescent="0.3">
      <c r="A10" t="s">
        <v>47</v>
      </c>
    </row>
    <row r="11" spans="1:1" x14ac:dyDescent="0.3">
      <c r="A11" t="s">
        <v>48</v>
      </c>
    </row>
    <row r="12" spans="1:1" x14ac:dyDescent="0.3">
      <c r="A12" t="s">
        <v>49</v>
      </c>
    </row>
    <row r="13" spans="1:1" x14ac:dyDescent="0.3">
      <c r="A13" t="s">
        <v>75</v>
      </c>
    </row>
    <row r="14" spans="1:1" x14ac:dyDescent="0.3">
      <c r="A14" t="s">
        <v>76</v>
      </c>
    </row>
    <row r="15" spans="1:1" x14ac:dyDescent="0.3">
      <c r="A15" t="s">
        <v>77</v>
      </c>
    </row>
    <row r="16" spans="1:1" x14ac:dyDescent="0.3">
      <c r="A16" t="s">
        <v>94</v>
      </c>
    </row>
    <row r="17" spans="1:1" x14ac:dyDescent="0.3">
      <c r="A17" t="s">
        <v>95</v>
      </c>
    </row>
    <row r="18" spans="1:1" x14ac:dyDescent="0.3">
      <c r="A18" t="s">
        <v>96</v>
      </c>
    </row>
    <row r="19" spans="1:1" x14ac:dyDescent="0.3">
      <c r="A19" t="s">
        <v>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99443F-4B88-476A-8C6F-01AC6A15B2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Taqi Saiyed</dc:creator>
  <cp:lastModifiedBy>Taqi Saiyed</cp:lastModifiedBy>
  <dcterms:created xsi:type="dcterms:W3CDTF">2026-07-20T17:19:50Z</dcterms:created>
  <dcterms:modified xsi:type="dcterms:W3CDTF">2026-08-24T09:18:55Z</dcterms:modified>
</cp:coreProperties>
</file>