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qi Saiyed\Desktop\DA\Statistic\"/>
    </mc:Choice>
  </mc:AlternateContent>
  <xr:revisionPtr revIDLastSave="0" documentId="8_{7438C5B3-B249-47A3-BA61-15C7B6122C4F}" xr6:coauthVersionLast="47" xr6:coauthVersionMax="47" xr10:uidLastSave="{00000000-0000-0000-0000-000000000000}"/>
  <bookViews>
    <workbookView xWindow="-108" yWindow="-108" windowWidth="23256" windowHeight="13896" xr2:uid="{AA54EACF-C533-42A8-83B5-DF95D7085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6" i="1"/>
  <c r="D25" i="1"/>
  <c r="D27" i="1" s="1"/>
  <c r="B27" i="1"/>
  <c r="B36" i="1" l="1"/>
  <c r="H26" i="1" s="1"/>
  <c r="C36" i="1"/>
  <c r="I26" i="1" s="1"/>
  <c r="C35" i="1"/>
  <c r="B35" i="1"/>
  <c r="H25" i="1" l="1"/>
  <c r="J37" i="1"/>
  <c r="C37" i="1"/>
  <c r="I25" i="1"/>
  <c r="J27" i="1"/>
  <c r="J34" i="1" s="1"/>
  <c r="J28" i="1"/>
  <c r="J29" i="1"/>
  <c r="D36" i="1"/>
  <c r="B37" i="1"/>
  <c r="D35" i="1"/>
  <c r="D37" i="1" s="1"/>
  <c r="J30" i="1" l="1"/>
  <c r="J33" i="1" s="1"/>
  <c r="J36" i="1"/>
</calcChain>
</file>

<file path=xl/sharedStrings.xml><?xml version="1.0" encoding="utf-8"?>
<sst xmlns="http://schemas.openxmlformats.org/spreadsheetml/2006/main" count="54" uniqueCount="40">
  <si>
    <t>Girls</t>
  </si>
  <si>
    <t>Boys</t>
  </si>
  <si>
    <t>Mean</t>
  </si>
  <si>
    <t>Standard Deviation</t>
  </si>
  <si>
    <t>Size</t>
  </si>
  <si>
    <t>z-Test: Two Sample for Means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</si>
  <si>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</si>
  <si>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</si>
  <si>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</si>
  <si>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</si>
  <si>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</si>
  <si>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</si>
  <si>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</si>
  <si>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</si>
  <si>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</si>
  <si>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</si>
  <si>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Smokers</t>
  </si>
  <si>
    <t>Non-Smokers</t>
  </si>
  <si>
    <t>Total</t>
  </si>
  <si>
    <t>Category</t>
  </si>
  <si>
    <t>Diagnosed as Cancer</t>
  </si>
  <si>
    <t>Without Cancer</t>
  </si>
  <si>
    <t>here p&gt;alpha value. So we failed to reject h0 and conclude that sample mean is significantly different from population mean.</t>
  </si>
  <si>
    <t>h0 = smoking cause cancer</t>
  </si>
  <si>
    <t>h1 = smoking doesn’t  cause cancer</t>
  </si>
  <si>
    <t>Exp</t>
  </si>
  <si>
    <t>total</t>
  </si>
  <si>
    <t>Oi</t>
  </si>
  <si>
    <t>Ei</t>
  </si>
  <si>
    <t>chi.obs</t>
  </si>
  <si>
    <t>rows</t>
  </si>
  <si>
    <t>columns</t>
  </si>
  <si>
    <t>df</t>
  </si>
  <si>
    <t>chi.crit</t>
  </si>
  <si>
    <t>here, chi.crit value is less than chi.obs. So, here we reject H0 and we conclude that smoking doesn’t cause cancer</t>
  </si>
  <si>
    <t>p-value</t>
  </si>
  <si>
    <t>Here, p-value is greater than alpha value so we failed to reject H0 and conclude H1</t>
  </si>
  <si>
    <t xml:space="preserve">alpha </t>
  </si>
  <si>
    <t>Q2.</t>
  </si>
  <si>
    <t>Q1.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</si>
</sst>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0" xfId="0" applyFont="1"/>
    <xf numFmtId="16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1D24-38E2-4D66-B77F-65648436571C}">
  <dimension ref="A1:R41"/>
  <sheetViews>
    <sheetView tabSelected="1" topLeftCell="A5" workbookViewId="0">
      <selection activeCell="E43" sqref="E43"/>
    </sheetView>
  </sheetViews>
  <sheetFormatPr defaultRowHeight="14.4" x14ac:dyDescent="0.3"/>
  <cols>
    <col min="1" max="1" width="24.77734375" customWidth="1"/>
    <col min="2" max="2" width="18.109375" bestFit="1" customWidth="1"/>
    <col min="3" max="3" width="16.109375" bestFit="1" customWidth="1"/>
    <col min="7" max="7" width="12" bestFit="1" customWidth="1"/>
    <col min="8" max="8" width="18.109375" bestFit="1" customWidth="1"/>
    <col min="9" max="9" width="13.5546875" bestFit="1" customWidth="1"/>
    <col min="10" max="10" width="11" bestFit="1" customWidth="1"/>
  </cols>
  <sheetData>
    <row r="1" spans="1:15" ht="18" x14ac:dyDescent="0.35">
      <c r="A1" s="7" t="s">
        <v>39</v>
      </c>
    </row>
    <row r="2" spans="1:15" x14ac:dyDescent="0.3">
      <c r="B2" t="s">
        <v>2</v>
      </c>
      <c r="C2" t="s">
        <v>3</v>
      </c>
      <c r="D2" t="s">
        <v>4</v>
      </c>
    </row>
    <row r="3" spans="1:15" x14ac:dyDescent="0.3">
      <c r="A3" t="s">
        <v>0</v>
      </c>
      <c r="B3">
        <v>89</v>
      </c>
      <c r="C3">
        <v>4</v>
      </c>
      <c r="D3">
        <v>50</v>
      </c>
      <c r="F3">
        <v>89</v>
      </c>
      <c r="G3">
        <v>82</v>
      </c>
    </row>
    <row r="4" spans="1:15" x14ac:dyDescent="0.3">
      <c r="A4" t="s">
        <v>1</v>
      </c>
      <c r="B4">
        <v>82</v>
      </c>
      <c r="C4">
        <v>9</v>
      </c>
      <c r="D4">
        <v>120</v>
      </c>
      <c r="F4">
        <v>89</v>
      </c>
      <c r="G4">
        <v>82</v>
      </c>
    </row>
    <row r="5" spans="1:15" x14ac:dyDescent="0.3">
      <c r="F5">
        <v>89</v>
      </c>
      <c r="G5">
        <v>82</v>
      </c>
    </row>
    <row r="7" spans="1:15" x14ac:dyDescent="0.3">
      <c r="A7" t="s">
        <v>5</v>
      </c>
    </row>
    <row r="8" spans="1:15" ht="15" thickBot="1" x14ac:dyDescent="0.35"/>
    <row r="9" spans="1:15" x14ac:dyDescent="0.3">
      <c r="A9" s="2"/>
      <c r="B9" s="2" t="s">
        <v>6</v>
      </c>
      <c r="C9" s="2" t="s">
        <v>7</v>
      </c>
    </row>
    <row r="10" spans="1:15" x14ac:dyDescent="0.3">
      <c r="A10" t="s">
        <v>2</v>
      </c>
      <c r="B10">
        <v>89</v>
      </c>
      <c r="C10">
        <v>82</v>
      </c>
    </row>
    <row r="11" spans="1:15" x14ac:dyDescent="0.3">
      <c r="A11" t="s">
        <v>8</v>
      </c>
      <c r="B11">
        <v>16</v>
      </c>
      <c r="C11">
        <v>81</v>
      </c>
      <c r="E11" s="8" t="s">
        <v>22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t="s">
        <v>9</v>
      </c>
      <c r="B12">
        <v>3</v>
      </c>
      <c r="C12">
        <v>3</v>
      </c>
    </row>
    <row r="13" spans="1:15" x14ac:dyDescent="0.3">
      <c r="A13" t="s">
        <v>10</v>
      </c>
      <c r="B13">
        <v>7</v>
      </c>
    </row>
    <row r="14" spans="1:15" x14ac:dyDescent="0.3">
      <c r="A14" t="s">
        <v>11</v>
      </c>
      <c r="B14">
        <v>0</v>
      </c>
    </row>
    <row r="15" spans="1:15" x14ac:dyDescent="0.3">
      <c r="A15" t="s">
        <v>12</v>
      </c>
      <c r="B15">
        <v>0.5</v>
      </c>
    </row>
    <row r="16" spans="1:15" x14ac:dyDescent="0.3">
      <c r="A16" t="s">
        <v>13</v>
      </c>
      <c r="B16">
        <v>1.6448536269514715</v>
      </c>
    </row>
    <row r="17" spans="1:10" x14ac:dyDescent="0.3">
      <c r="A17" t="s">
        <v>14</v>
      </c>
      <c r="B17">
        <v>1</v>
      </c>
    </row>
    <row r="18" spans="1:10" ht="15" thickBot="1" x14ac:dyDescent="0.35">
      <c r="A18" s="1" t="s">
        <v>15</v>
      </c>
      <c r="B18" s="1">
        <v>1.9599639845400536</v>
      </c>
      <c r="C18" s="1"/>
    </row>
    <row r="22" spans="1:10" ht="18" x14ac:dyDescent="0.35">
      <c r="A22" s="7" t="s">
        <v>38</v>
      </c>
    </row>
    <row r="23" spans="1:10" ht="18" x14ac:dyDescent="0.35">
      <c r="A23" s="5" t="s">
        <v>27</v>
      </c>
    </row>
    <row r="24" spans="1:10" x14ac:dyDescent="0.3">
      <c r="A24" t="s">
        <v>19</v>
      </c>
      <c r="B24" t="s">
        <v>20</v>
      </c>
      <c r="C24" t="s">
        <v>21</v>
      </c>
      <c r="D24" t="s">
        <v>18</v>
      </c>
      <c r="G24" t="s">
        <v>19</v>
      </c>
      <c r="H24" t="s">
        <v>20</v>
      </c>
      <c r="I24" t="s">
        <v>21</v>
      </c>
    </row>
    <row r="25" spans="1:10" x14ac:dyDescent="0.3">
      <c r="A25" t="s">
        <v>16</v>
      </c>
      <c r="B25">
        <v>220</v>
      </c>
      <c r="C25">
        <v>230</v>
      </c>
      <c r="D25">
        <f>SUM(B25:C25)</f>
        <v>450</v>
      </c>
      <c r="G25" t="s">
        <v>16</v>
      </c>
      <c r="H25">
        <f>(B25-B35)^2/B35</f>
        <v>9.8442982456140342</v>
      </c>
      <c r="I25">
        <f>(C25-C35)^2/C35</f>
        <v>6.4497126436781613</v>
      </c>
    </row>
    <row r="26" spans="1:10" x14ac:dyDescent="0.3">
      <c r="A26" t="s">
        <v>17</v>
      </c>
      <c r="B26">
        <v>350</v>
      </c>
      <c r="C26">
        <v>640</v>
      </c>
      <c r="D26">
        <f t="shared" ref="D26" si="0">SUM(B26:C26)</f>
        <v>990</v>
      </c>
      <c r="G26" t="s">
        <v>17</v>
      </c>
      <c r="H26">
        <f>(B26-B36)^2/B36</f>
        <v>4.4746810207336525</v>
      </c>
      <c r="I26">
        <f>(C26-C36)^2/C36</f>
        <v>2.931687565308255</v>
      </c>
    </row>
    <row r="27" spans="1:10" ht="15.6" x14ac:dyDescent="0.3">
      <c r="A27" t="s">
        <v>18</v>
      </c>
      <c r="B27">
        <f>SUM(B25:B26)</f>
        <v>570</v>
      </c>
      <c r="C27">
        <f t="shared" ref="C27:D27" si="1">SUM(C25:C26)</f>
        <v>870</v>
      </c>
      <c r="D27">
        <f t="shared" si="1"/>
        <v>1440</v>
      </c>
      <c r="I27" s="6" t="s">
        <v>29</v>
      </c>
      <c r="J27">
        <f>SUM(H25:I26)</f>
        <v>23.700379475334103</v>
      </c>
    </row>
    <row r="28" spans="1:10" ht="15.6" x14ac:dyDescent="0.3">
      <c r="I28" s="6" t="s">
        <v>30</v>
      </c>
      <c r="J28">
        <f>COUNT(H25:H26)</f>
        <v>2</v>
      </c>
    </row>
    <row r="29" spans="1:10" ht="15.6" x14ac:dyDescent="0.3">
      <c r="A29" t="s">
        <v>23</v>
      </c>
      <c r="I29" s="6" t="s">
        <v>31</v>
      </c>
      <c r="J29">
        <f>COUNT(H25:I25)</f>
        <v>2</v>
      </c>
    </row>
    <row r="30" spans="1:10" ht="15.6" x14ac:dyDescent="0.3">
      <c r="A30" t="s">
        <v>24</v>
      </c>
      <c r="I30" s="6" t="s">
        <v>32</v>
      </c>
      <c r="J30">
        <f>(J28-1)*(J29-1)</f>
        <v>1</v>
      </c>
    </row>
    <row r="31" spans="1:10" ht="15.6" x14ac:dyDescent="0.3">
      <c r="I31" s="6" t="s">
        <v>37</v>
      </c>
      <c r="J31">
        <v>0.05</v>
      </c>
    </row>
    <row r="32" spans="1:10" ht="18" x14ac:dyDescent="0.35">
      <c r="A32" s="5" t="s">
        <v>28</v>
      </c>
      <c r="G32" s="4"/>
    </row>
    <row r="33" spans="1:18" x14ac:dyDescent="0.3">
      <c r="A33" s="3" t="s">
        <v>25</v>
      </c>
      <c r="I33" t="s">
        <v>33</v>
      </c>
      <c r="J33">
        <f>_xlfn.CHISQ.INV.RT(J31,J30)</f>
        <v>3.8414588206941236</v>
      </c>
    </row>
    <row r="34" spans="1:18" x14ac:dyDescent="0.3">
      <c r="A34" t="s">
        <v>19</v>
      </c>
      <c r="B34" t="s">
        <v>20</v>
      </c>
      <c r="C34" t="s">
        <v>21</v>
      </c>
      <c r="D34" t="s">
        <v>26</v>
      </c>
      <c r="I34" t="s">
        <v>29</v>
      </c>
      <c r="J34">
        <f>J27</f>
        <v>23.700379475334103</v>
      </c>
    </row>
    <row r="35" spans="1:18" x14ac:dyDescent="0.3">
      <c r="A35" t="s">
        <v>16</v>
      </c>
      <c r="B35">
        <f>($D25*B$27)/$D$27</f>
        <v>178.125</v>
      </c>
      <c r="C35">
        <f>($D25*C$27)/$D$27</f>
        <v>271.875</v>
      </c>
      <c r="D35">
        <f>SUM(B35:C35)</f>
        <v>450</v>
      </c>
      <c r="I35" s="9" t="s">
        <v>34</v>
      </c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3">
      <c r="A36" t="s">
        <v>17</v>
      </c>
      <c r="B36">
        <f>($D26*B$27)/$D$27</f>
        <v>391.875</v>
      </c>
      <c r="C36">
        <f>($D26*C$27)/$D$27</f>
        <v>598.125</v>
      </c>
      <c r="D36">
        <f t="shared" ref="D36" si="2">SUM(B36:C36)</f>
        <v>990</v>
      </c>
      <c r="I36" t="s">
        <v>35</v>
      </c>
      <c r="J36">
        <f>_xlfn.CHISQ.DIST.RT(J34,J30)</f>
        <v>1.1256033979815032E-6</v>
      </c>
    </row>
    <row r="37" spans="1:18" x14ac:dyDescent="0.3">
      <c r="A37" t="s">
        <v>18</v>
      </c>
      <c r="B37">
        <f>SUM(B35:B36)</f>
        <v>570</v>
      </c>
      <c r="C37">
        <f t="shared" ref="C37:D37" si="3">SUM(C35:C36)</f>
        <v>870</v>
      </c>
      <c r="D37">
        <f t="shared" si="3"/>
        <v>1440</v>
      </c>
      <c r="J37">
        <f>_xlfn.CHISQ.TEST(B25:C26,B35:C36)</f>
        <v>1.1256033979815032E-6</v>
      </c>
    </row>
    <row r="38" spans="1:18" x14ac:dyDescent="0.3">
      <c r="I38" t="s">
        <v>36</v>
      </c>
    </row>
    <row r="41" spans="1:18" x14ac:dyDescent="0.3">
      <c r="B41" s="4"/>
    </row>
  </sheetData>
  <mergeCells count="2">
    <mergeCell ref="E11:O11"/>
    <mergeCell ref="I35:R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Taqi Saiyed</dc:creator>
  <cp:lastModifiedBy>Taqi Saiyed</cp:lastModifiedBy>
  <dcterms:created xsi:type="dcterms:W3CDTF">2026-07-14T07:02:05Z</dcterms:created>
  <dcterms:modified xsi:type="dcterms:W3CDTF">2026-08-24T09:12:29Z</dcterms:modified>
</cp:coreProperties>
</file>